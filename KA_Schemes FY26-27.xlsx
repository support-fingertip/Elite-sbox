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G72" i="1" l="1"/>
  <c r="F72" i="1"/>
  <c r="C68" i="1"/>
  <c r="C67" i="1"/>
  <c r="C60" i="1"/>
  <c r="C59" i="1"/>
  <c r="C58" i="1"/>
  <c r="C56" i="1"/>
  <c r="C55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2" i="1"/>
  <c r="C31" i="1"/>
  <c r="C30" i="1"/>
  <c r="C28" i="1"/>
  <c r="C27" i="1"/>
  <c r="C26" i="1"/>
  <c r="C25" i="1"/>
  <c r="C22" i="1"/>
  <c r="C16" i="1"/>
  <c r="C15" i="1"/>
  <c r="C11" i="1"/>
  <c r="C4" i="1"/>
  <c r="C3" i="1"/>
</calcChain>
</file>

<file path=xl/sharedStrings.xml><?xml version="1.0" encoding="utf-8"?>
<sst xmlns="http://schemas.openxmlformats.org/spreadsheetml/2006/main" count="269" uniqueCount="105">
  <si>
    <t>KARNATAKA BTL for 2026-27</t>
  </si>
  <si>
    <t>Category</t>
  </si>
  <si>
    <t>SKU</t>
  </si>
  <si>
    <t>%</t>
  </si>
  <si>
    <t>Scheme</t>
  </si>
  <si>
    <t>% On Budget</t>
  </si>
  <si>
    <t>Apr</t>
  </si>
  <si>
    <t>May</t>
  </si>
  <si>
    <t>Cake</t>
  </si>
  <si>
    <t>Centoz Rs.10  30g</t>
  </si>
  <si>
    <t>22+2</t>
  </si>
  <si>
    <t>Centoz Rs.20  54g</t>
  </si>
  <si>
    <t>11+1</t>
  </si>
  <si>
    <t>Bar Cake Rs.10 33g</t>
  </si>
  <si>
    <t>29+1</t>
  </si>
  <si>
    <t>Slice Pudding 50g Rs20</t>
  </si>
  <si>
    <t>Fruit Slice 33g Rs 10</t>
  </si>
  <si>
    <t>11+2</t>
  </si>
  <si>
    <t>Cake Choco Brownie 50g Rs 20</t>
  </si>
  <si>
    <t>34+2</t>
  </si>
  <si>
    <t>Cake Choco Brownie F&amp;N Rs 25</t>
  </si>
  <si>
    <t>Cake Choco Brownie 190g Rs 75</t>
  </si>
  <si>
    <t>35+1</t>
  </si>
  <si>
    <t xml:space="preserve">Fruit BarCake </t>
  </si>
  <si>
    <t>Bar Cake Rs.30 90g &amp; 110g</t>
  </si>
  <si>
    <t>12+1</t>
  </si>
  <si>
    <t>Pudding 155g/Black Raisin 155g Rs 60</t>
  </si>
  <si>
    <t>Bar Cake Rs. 40  140g   Fruit Cho Vani Or Choc &amp; Pine cho</t>
  </si>
  <si>
    <t>Cup Cake Rs.5  17g ( Butter &amp; Chock)</t>
  </si>
  <si>
    <t>Cup Cake (4*1)  Rs.30 90g</t>
  </si>
  <si>
    <t xml:space="preserve">Cup Cake (6*1)  Rs.60 170g </t>
  </si>
  <si>
    <t>Rusk</t>
  </si>
  <si>
    <t>Rusk Rs.10  58g( Milk &amp; Elachi ) Classic 59g</t>
  </si>
  <si>
    <t>Rusk Rs.20 Milk 116g</t>
  </si>
  <si>
    <t>Rusk Rs.35 182g ( Milk &amp; Elachi)</t>
  </si>
  <si>
    <t>Rusk Rs.20  135g (Classic)</t>
  </si>
  <si>
    <t>Rusk Rs 75 405g (Classic)</t>
  </si>
  <si>
    <t>Rusk Rs 210  1Kg (Classic)</t>
  </si>
  <si>
    <t>6+1</t>
  </si>
  <si>
    <t>Rusk Rs 240 1Kg (Elachi)</t>
  </si>
  <si>
    <t>Rusk Rs 50  274g (Milk)</t>
  </si>
  <si>
    <t>Jeera Rusk 182GM Rs 35</t>
  </si>
  <si>
    <t>Rusk Rs.25 100g ( Pizza cheese flavour)</t>
  </si>
  <si>
    <t>Rusk 200g MRP 40 (Whole Wheat)</t>
  </si>
  <si>
    <t xml:space="preserve">Cookies </t>
  </si>
  <si>
    <t>Cookies Rs.22  75g ( Chaco ,Butter  &amp; Almond )</t>
  </si>
  <si>
    <t>Cookies Rs.30  75g Duplex ( Chaco , Butter &amp; Almond)</t>
  </si>
  <si>
    <t>Cookies Rs.5  16g</t>
  </si>
  <si>
    <t>CPD</t>
  </si>
  <si>
    <t>Chakki Atta 500g Rs 38</t>
  </si>
  <si>
    <t>19+1</t>
  </si>
  <si>
    <t>Chakki Atta 1kg Rs 70</t>
  </si>
  <si>
    <t>Chakki Atta 2Kg Rs 131</t>
  </si>
  <si>
    <r>
      <t>Chakki Atta 5Kg Rs 330 (</t>
    </r>
    <r>
      <rPr>
        <b/>
        <sz val="11"/>
        <color indexed="8"/>
        <rFont val="Cambria"/>
        <family val="1"/>
        <scheme val="major"/>
      </rPr>
      <t>Non Offer Months</t>
    </r>
    <r>
      <rPr>
        <sz val="11"/>
        <color indexed="8"/>
        <rFont val="Cambria"/>
        <family val="1"/>
        <scheme val="major"/>
      </rPr>
      <t>)</t>
    </r>
  </si>
  <si>
    <t>15+1</t>
  </si>
  <si>
    <t>Rava  Low Rosted 1/2 kg Rs 48</t>
  </si>
  <si>
    <t>Rava  Low Rosted 1 kg Rs 85</t>
  </si>
  <si>
    <t>Bansi Rava 500g Rs 43</t>
  </si>
  <si>
    <t>Double Roasted Rava 500g Rs 65</t>
  </si>
  <si>
    <t>Double Roasted Rava 1Kg Rs 115</t>
  </si>
  <si>
    <t>Rava Rosted 1/2Kg Rs 60</t>
  </si>
  <si>
    <t>Rava Rosted 1Kg  Rs 105</t>
  </si>
  <si>
    <t>Maida1/2 kg Rs 43</t>
  </si>
  <si>
    <t>Maida 1 kg Rs 78</t>
  </si>
  <si>
    <t>Broken Wheat / Fine 1/2Kg Rs 68</t>
  </si>
  <si>
    <t>Matta Broken Rice 1/2 Kg  Rs 55</t>
  </si>
  <si>
    <t>Rice Flour 1Kg Rs 75</t>
  </si>
  <si>
    <t>Rice Flour 1/2 Kg Rs42</t>
  </si>
  <si>
    <t>Poha Red &amp; White 500g Rs 57</t>
  </si>
  <si>
    <t>Matta Rice  long &amp; short grain 5kg Rs 412/350</t>
  </si>
  <si>
    <t>Puttupodi</t>
  </si>
  <si>
    <t>Rice Puttupodi 1/2 kg Rs  55</t>
  </si>
  <si>
    <t>Rice Puttupodi 1 kg Rs 110</t>
  </si>
  <si>
    <t xml:space="preserve">Mixes </t>
  </si>
  <si>
    <t>Palada payasam Mix 300g Rs 95</t>
  </si>
  <si>
    <t>Vermicelli payasam Mix 300g  Rs 95</t>
  </si>
  <si>
    <t>Gram Flour With Multigrains 500g Rs</t>
  </si>
  <si>
    <t>Vermicelli 200g Rs 28</t>
  </si>
  <si>
    <t>Vermicelli 400g Rs 58</t>
  </si>
  <si>
    <t>Soya Chunks Nano 200g Rs 47</t>
  </si>
  <si>
    <t>Soya Chunks 200g Rs 56</t>
  </si>
  <si>
    <t>Gulab Jamun 175g ( Reduce landing Price) Rs 125</t>
  </si>
  <si>
    <t>36+36</t>
  </si>
  <si>
    <t xml:space="preserve">Oats </t>
  </si>
  <si>
    <t>Oats 500g Pouch Rs 104</t>
  </si>
  <si>
    <t>Oats 1Kg Pouch  Rs 190</t>
  </si>
  <si>
    <t xml:space="preserve">KA Sales less </t>
  </si>
  <si>
    <t xml:space="preserve">Contribution from BMA Outlets </t>
  </si>
  <si>
    <t>BMA-NOV &amp; DEC Season Sales2 (plum &amp; Pudding)-70% of the total plum &amp; Pudding</t>
  </si>
  <si>
    <t>BMA- Nov &amp;  Dec sales other than Plum &amp; Pudding</t>
  </si>
  <si>
    <t>NOV &amp; DEC Total Sales</t>
  </si>
  <si>
    <t xml:space="preserve">Blore &amp; Mlore City Rusk Display  3 Months </t>
  </si>
  <si>
    <t xml:space="preserve">200 outlets @ Rs 500 PM Rs 100000 * 3 Months </t>
  </si>
  <si>
    <t>Christmas</t>
  </si>
  <si>
    <t>Display for GT Outlets</t>
  </si>
  <si>
    <t xml:space="preserve">Plum </t>
  </si>
  <si>
    <t>Distributor Incentive 2% for season sales on achivemnet of 100% target</t>
  </si>
  <si>
    <t>BMA Plum Sales 1.6% ( QPS )</t>
  </si>
  <si>
    <t>Royal Mart Special  Visibility Drive Plum</t>
  </si>
  <si>
    <t>Incentive for Sub Stockist For Achieving 100%- 1% of the Sales</t>
  </si>
  <si>
    <t>Channel Management @ 0.20%</t>
  </si>
  <si>
    <t>QPS for Key Outlet's</t>
  </si>
  <si>
    <t>MT</t>
  </si>
  <si>
    <t>Modern Trade @8% of  Total sales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</si>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</sst>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mbria"/>
      <family val="1"/>
      <scheme val="major"/>
    </font>
    <font>
      <sz val="11"/>
      <color indexed="8"/>
      <name val="Cambria"/>
      <family val="1"/>
      <scheme val="maj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  <scheme val="minor"/>
    </font>
    <font>
      <sz val="11"/>
      <color rgb="FFFF0000"/>
      <name val="Cambria"/>
      <family val="1"/>
      <scheme val="major"/>
    </font>
    <font>
      <sz val="12"/>
      <name val="Calibri"/>
      <family val="2"/>
    </font>
    <font>
      <b/>
      <sz val="12"/>
      <color indexed="8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70">
    <xf numFmtId="0" fontId="0" fillId="0" borderId="0" xfId="0"/>
    <xf numFmtId="0" fontId="2" fillId="0" borderId="1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1" xfId="1" applyFont="1" applyBorder="1" applyAlignment="1"/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2" borderId="6" xfId="1" applyFont="1" applyFill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3" fillId="0" borderId="8" xfId="1" applyFont="1" applyBorder="1" applyAlignment="1"/>
    <xf numFmtId="10" fontId="4" fillId="0" borderId="9" xfId="1" applyNumberFormat="1" applyFont="1" applyBorder="1" applyAlignment="1">
      <alignment horizontal="center"/>
    </xf>
    <xf numFmtId="0" fontId="4" fillId="0" borderId="10" xfId="1" applyFont="1" applyBorder="1" applyAlignment="1">
      <alignment horizontal="center"/>
    </xf>
    <xf numFmtId="9" fontId="4" fillId="0" borderId="11" xfId="1" applyNumberFormat="1" applyFont="1" applyBorder="1" applyAlignment="1">
      <alignment horizontal="center"/>
    </xf>
    <xf numFmtId="0" fontId="4" fillId="0" borderId="8" xfId="1" applyFont="1" applyBorder="1" applyAlignment="1">
      <alignment horizontal="center"/>
    </xf>
    <xf numFmtId="0" fontId="3" fillId="3" borderId="8" xfId="1" applyFont="1" applyFill="1" applyBorder="1" applyAlignment="1"/>
    <xf numFmtId="0" fontId="3" fillId="0" borderId="12" xfId="1" applyFont="1" applyBorder="1" applyAlignment="1">
      <alignment horizontal="center"/>
    </xf>
    <xf numFmtId="0" fontId="3" fillId="0" borderId="13" xfId="1" applyFont="1" applyBorder="1" applyAlignment="1"/>
    <xf numFmtId="10" fontId="4" fillId="0" borderId="14" xfId="1" applyNumberFormat="1" applyFont="1" applyBorder="1" applyAlignment="1">
      <alignment horizontal="center"/>
    </xf>
    <xf numFmtId="0" fontId="4" fillId="0" borderId="15" xfId="1" applyFont="1" applyBorder="1" applyAlignment="1">
      <alignment horizontal="center"/>
    </xf>
    <xf numFmtId="9" fontId="4" fillId="0" borderId="16" xfId="1" applyNumberFormat="1" applyFont="1" applyBorder="1" applyAlignment="1">
      <alignment horizontal="center"/>
    </xf>
    <xf numFmtId="0" fontId="4" fillId="0" borderId="13" xfId="1" applyFont="1" applyBorder="1" applyAlignment="1">
      <alignment horizontal="center"/>
    </xf>
    <xf numFmtId="0" fontId="3" fillId="4" borderId="13" xfId="1" applyFont="1" applyFill="1" applyBorder="1" applyAlignment="1"/>
    <xf numFmtId="0" fontId="3" fillId="3" borderId="13" xfId="1" applyFont="1" applyFill="1" applyBorder="1" applyAlignment="1"/>
    <xf numFmtId="10" fontId="4" fillId="0" borderId="14" xfId="2" applyNumberFormat="1" applyFont="1" applyBorder="1" applyAlignment="1">
      <alignment horizontal="center"/>
    </xf>
    <xf numFmtId="0" fontId="3" fillId="4" borderId="12" xfId="1" applyFont="1" applyFill="1" applyBorder="1" applyAlignment="1">
      <alignment horizontal="center"/>
    </xf>
    <xf numFmtId="0" fontId="3" fillId="0" borderId="17" xfId="1" applyFont="1" applyBorder="1" applyAlignment="1">
      <alignment horizontal="center"/>
    </xf>
    <xf numFmtId="0" fontId="2" fillId="2" borderId="3" xfId="1" applyFont="1" applyFill="1" applyBorder="1" applyAlignment="1"/>
    <xf numFmtId="10" fontId="6" fillId="2" borderId="3" xfId="1" applyNumberFormat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10" fontId="4" fillId="0" borderId="8" xfId="1" applyNumberFormat="1" applyFont="1" applyBorder="1" applyAlignment="1">
      <alignment horizontal="center"/>
    </xf>
    <xf numFmtId="9" fontId="4" fillId="0" borderId="8" xfId="1" applyNumberFormat="1" applyFont="1" applyBorder="1" applyAlignment="1">
      <alignment horizontal="center"/>
    </xf>
    <xf numFmtId="9" fontId="4" fillId="0" borderId="13" xfId="1" applyNumberFormat="1" applyFont="1" applyBorder="1" applyAlignment="1">
      <alignment horizontal="center"/>
    </xf>
    <xf numFmtId="10" fontId="4" fillId="0" borderId="13" xfId="1" applyNumberFormat="1" applyFont="1" applyBorder="1" applyAlignment="1">
      <alignment horizontal="center"/>
    </xf>
    <xf numFmtId="0" fontId="3" fillId="3" borderId="18" xfId="1" applyFont="1" applyFill="1" applyBorder="1" applyAlignment="1"/>
    <xf numFmtId="0" fontId="3" fillId="0" borderId="18" xfId="1" applyFont="1" applyBorder="1" applyAlignment="1"/>
    <xf numFmtId="10" fontId="4" fillId="0" borderId="18" xfId="1" applyNumberFormat="1" applyFont="1" applyBorder="1" applyAlignment="1">
      <alignment horizontal="center"/>
    </xf>
    <xf numFmtId="0" fontId="4" fillId="0" borderId="18" xfId="1" applyFont="1" applyBorder="1" applyAlignment="1">
      <alignment horizontal="center"/>
    </xf>
    <xf numFmtId="9" fontId="4" fillId="0" borderId="18" xfId="1" applyNumberFormat="1" applyFont="1" applyBorder="1" applyAlignment="1">
      <alignment horizontal="center"/>
    </xf>
    <xf numFmtId="0" fontId="7" fillId="0" borderId="13" xfId="1" applyFont="1" applyBorder="1" applyAlignment="1"/>
    <xf numFmtId="10" fontId="4" fillId="0" borderId="18" xfId="2" applyNumberFormat="1" applyFont="1" applyBorder="1" applyAlignment="1">
      <alignment horizontal="center"/>
    </xf>
    <xf numFmtId="0" fontId="3" fillId="3" borderId="7" xfId="1" applyFont="1" applyFill="1" applyBorder="1" applyAlignment="1">
      <alignment horizontal="center"/>
    </xf>
    <xf numFmtId="0" fontId="3" fillId="4" borderId="8" xfId="1" applyFont="1" applyFill="1" applyBorder="1" applyAlignment="1"/>
    <xf numFmtId="0" fontId="8" fillId="5" borderId="14" xfId="1" applyFont="1" applyFill="1" applyBorder="1" applyAlignment="1"/>
    <xf numFmtId="0" fontId="3" fillId="0" borderId="14" xfId="1" applyFont="1" applyBorder="1" applyAlignment="1">
      <alignment horizontal="center"/>
    </xf>
    <xf numFmtId="0" fontId="3" fillId="0" borderId="14" xfId="1" applyFont="1" applyBorder="1" applyAlignment="1"/>
    <xf numFmtId="0" fontId="4" fillId="0" borderId="14" xfId="1" applyFont="1" applyBorder="1" applyAlignment="1">
      <alignment horizontal="center"/>
    </xf>
    <xf numFmtId="9" fontId="4" fillId="0" borderId="14" xfId="1" applyNumberFormat="1" applyFont="1" applyBorder="1" applyAlignment="1">
      <alignment horizontal="center"/>
    </xf>
    <xf numFmtId="0" fontId="3" fillId="2" borderId="19" xfId="1" applyFont="1" applyFill="1" applyBorder="1" applyAlignment="1">
      <alignment horizontal="center"/>
    </xf>
    <xf numFmtId="0" fontId="3" fillId="2" borderId="20" xfId="1" applyFont="1" applyFill="1" applyBorder="1" applyAlignment="1"/>
    <xf numFmtId="9" fontId="4" fillId="2" borderId="20" xfId="1" applyNumberFormat="1" applyFont="1" applyFill="1" applyBorder="1" applyAlignment="1">
      <alignment horizontal="center"/>
    </xf>
    <xf numFmtId="0" fontId="4" fillId="2" borderId="20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/>
    <xf numFmtId="9" fontId="4" fillId="2" borderId="3" xfId="1" applyNumberFormat="1" applyFont="1" applyFill="1" applyBorder="1" applyAlignment="1">
      <alignment horizontal="center"/>
    </xf>
    <xf numFmtId="0" fontId="3" fillId="0" borderId="8" xfId="1" applyFont="1" applyBorder="1" applyAlignment="1">
      <alignment horizontal="center"/>
    </xf>
    <xf numFmtId="9" fontId="3" fillId="0" borderId="16" xfId="1" applyNumberFormat="1" applyFont="1" applyBorder="1" applyAlignment="1">
      <alignment horizontal="left"/>
    </xf>
    <xf numFmtId="9" fontId="3" fillId="0" borderId="15" xfId="1" applyNumberFormat="1" applyFont="1" applyBorder="1" applyAlignment="1">
      <alignment horizontal="left"/>
    </xf>
    <xf numFmtId="2" fontId="4" fillId="0" borderId="13" xfId="1" applyNumberFormat="1" applyFont="1" applyBorder="1" applyAlignment="1">
      <alignment horizontal="center"/>
    </xf>
    <xf numFmtId="9" fontId="3" fillId="0" borderId="16" xfId="1" applyNumberFormat="1" applyFont="1" applyBorder="1" applyAlignment="1">
      <alignment horizontal="left"/>
    </xf>
    <xf numFmtId="9" fontId="3" fillId="0" borderId="15" xfId="1" applyNumberFormat="1" applyFont="1" applyBorder="1" applyAlignment="1">
      <alignment horizontal="left"/>
    </xf>
    <xf numFmtId="0" fontId="3" fillId="0" borderId="13" xfId="1" applyFont="1" applyBorder="1" applyAlignment="1">
      <alignment horizontal="left"/>
    </xf>
    <xf numFmtId="0" fontId="2" fillId="2" borderId="13" xfId="1" applyFont="1" applyFill="1" applyBorder="1" applyAlignment="1">
      <alignment horizontal="left"/>
    </xf>
    <xf numFmtId="0" fontId="6" fillId="2" borderId="13" xfId="1" applyFont="1" applyFill="1" applyBorder="1" applyAlignment="1">
      <alignment horizontal="center"/>
    </xf>
    <xf numFmtId="2" fontId="6" fillId="2" borderId="13" xfId="1" applyNumberFormat="1" applyFont="1" applyFill="1" applyBorder="1" applyAlignment="1">
      <alignment horizontal="center"/>
    </xf>
    <xf numFmtId="0" fontId="3" fillId="3" borderId="13" xfId="1" applyFont="1" applyFill="1" applyBorder="1" applyAlignment="1">
      <alignment horizontal="left"/>
    </xf>
    <xf numFmtId="0" fontId="2" fillId="0" borderId="13" xfId="1" applyFont="1" applyBorder="1" applyAlignment="1">
      <alignment horizontal="left"/>
    </xf>
    <xf numFmtId="0" fontId="9" fillId="2" borderId="16" xfId="1" applyFont="1" applyFill="1" applyBorder="1" applyAlignment="1">
      <alignment horizontal="center"/>
    </xf>
    <xf numFmtId="0" fontId="2" fillId="2" borderId="21" xfId="1" applyFont="1" applyFill="1" applyBorder="1" applyAlignment="1">
      <alignment horizontal="center"/>
    </xf>
  </cellXfs>
  <cellStyles count="3">
    <cellStyle name="Normal" xfId="0" builtinId="0"/>
    <cellStyle name="Normal 3" xfId="1"/>
    <cellStyle name="Percent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Views>
    <sheetView tabSelected="1" topLeftCell="A61" workbookViewId="0">
      <selection activeCell="J71" sqref="J71"/>
    </sheetView>
  </sheetViews>
  <sheetFormatPr defaultRowHeight="14.4" x14ac:dyDescent="0.3"/>
  <sheetData>
    <row r="1" spans="1:7" ht="15" thickBot="1" x14ac:dyDescent="0.35">
      <c r="A1" s="1" t="s">
        <v>0</v>
      </c>
      <c r="B1" s="1"/>
      <c r="C1" s="2"/>
      <c r="D1" s="2"/>
      <c r="E1" s="3"/>
      <c r="F1" s="2"/>
      <c r="G1" s="2"/>
    </row>
    <row r="2" spans="1:7" ht="15" thickBot="1" x14ac:dyDescent="0.35">
      <c r="A2" s="4" t="s">
        <v>1</v>
      </c>
      <c r="B2" s="5" t="s">
        <v>2</v>
      </c>
      <c r="C2" s="6" t="s">
        <v>3</v>
      </c>
      <c r="D2" s="7" t="s">
        <v>4</v>
      </c>
      <c r="E2" s="8" t="s">
        <v>5</v>
      </c>
      <c r="F2" s="5" t="s">
        <v>6</v>
      </c>
      <c r="G2" s="5" t="s">
        <v>7</v>
      </c>
    </row>
    <row r="3" spans="1:7" x14ac:dyDescent="0.3">
      <c r="A3" s="9" t="s">
        <v>8</v>
      </c>
      <c r="B3" s="10" t="s">
        <v>9</v>
      </c>
      <c r="C3" s="11">
        <f>2/24*100%</f>
        <v>8.3333333333333329E-2</v>
      </c>
      <c r="D3" s="12" t="s">
        <v>10</v>
      </c>
      <c r="E3" s="13">
        <v>0.8</v>
      </c>
      <c r="F3" s="14" t="s">
        <v>10</v>
      </c>
      <c r="G3" s="14" t="s">
        <v>10</v>
      </c>
    </row>
    <row r="4" spans="1:7" x14ac:dyDescent="0.3">
      <c r="A4" s="9"/>
      <c r="B4" s="15" t="s">
        <v>11</v>
      </c>
      <c r="C4" s="11">
        <f>2/24*100%</f>
        <v>8.3333333333333329E-2</v>
      </c>
      <c r="D4" s="12" t="s">
        <v>12</v>
      </c>
      <c r="E4" s="13">
        <v>0.8</v>
      </c>
      <c r="F4" s="14" t="s">
        <v>12</v>
      </c>
      <c r="G4" s="14" t="s">
        <v>12</v>
      </c>
    </row>
    <row r="5" spans="1:7" x14ac:dyDescent="0.3">
      <c r="A5" s="16"/>
      <c r="B5" s="17" t="s">
        <v>13</v>
      </c>
      <c r="C5" s="18">
        <v>3.4000000000000002E-2</v>
      </c>
      <c r="D5" s="19" t="s">
        <v>14</v>
      </c>
      <c r="E5" s="20">
        <v>0.65</v>
      </c>
      <c r="F5" s="21" t="s">
        <v>14</v>
      </c>
      <c r="G5" s="21" t="s">
        <v>14</v>
      </c>
    </row>
    <row r="6" spans="1:7" x14ac:dyDescent="0.3">
      <c r="A6" s="16"/>
      <c r="B6" s="22" t="s">
        <v>15</v>
      </c>
      <c r="C6" s="18">
        <v>0.09</v>
      </c>
      <c r="D6" s="19" t="s">
        <v>12</v>
      </c>
      <c r="E6" s="20">
        <v>0.75</v>
      </c>
      <c r="F6" s="14" t="s">
        <v>12</v>
      </c>
      <c r="G6" s="14" t="s">
        <v>12</v>
      </c>
    </row>
    <row r="7" spans="1:7" x14ac:dyDescent="0.3">
      <c r="A7" s="16"/>
      <c r="B7" s="22" t="s">
        <v>16</v>
      </c>
      <c r="C7" s="18">
        <v>0.09</v>
      </c>
      <c r="D7" s="19" t="s">
        <v>12</v>
      </c>
      <c r="E7" s="20">
        <v>0.8</v>
      </c>
      <c r="F7" s="14" t="s">
        <v>17</v>
      </c>
      <c r="G7" s="19" t="s">
        <v>12</v>
      </c>
    </row>
    <row r="8" spans="1:7" x14ac:dyDescent="0.3">
      <c r="A8" s="16"/>
      <c r="B8" s="22" t="s">
        <v>18</v>
      </c>
      <c r="C8" s="18">
        <v>5.8000000000000003E-2</v>
      </c>
      <c r="D8" s="19" t="s">
        <v>19</v>
      </c>
      <c r="E8" s="20">
        <v>0.5</v>
      </c>
      <c r="F8" s="19" t="s">
        <v>19</v>
      </c>
      <c r="G8" s="19" t="s">
        <v>19</v>
      </c>
    </row>
    <row r="9" spans="1:7" x14ac:dyDescent="0.3">
      <c r="A9" s="16"/>
      <c r="B9" s="22" t="s">
        <v>20</v>
      </c>
      <c r="C9" s="18">
        <v>5.8000000000000003E-2</v>
      </c>
      <c r="D9" s="19" t="s">
        <v>19</v>
      </c>
      <c r="E9" s="20">
        <v>0.5</v>
      </c>
      <c r="F9" s="19" t="s">
        <v>19</v>
      </c>
      <c r="G9" s="19" t="s">
        <v>19</v>
      </c>
    </row>
    <row r="10" spans="1:7" x14ac:dyDescent="0.3">
      <c r="A10" s="16"/>
      <c r="B10" s="23" t="s">
        <v>21</v>
      </c>
      <c r="C10" s="18">
        <v>2.7699999999999999E-2</v>
      </c>
      <c r="D10" s="19" t="s">
        <v>22</v>
      </c>
      <c r="E10" s="20">
        <v>0.5</v>
      </c>
      <c r="F10" s="19" t="s">
        <v>22</v>
      </c>
      <c r="G10" s="19" t="s">
        <v>22</v>
      </c>
    </row>
    <row r="11" spans="1:7" x14ac:dyDescent="0.3">
      <c r="A11" s="16" t="s">
        <v>23</v>
      </c>
      <c r="B11" s="17" t="s">
        <v>24</v>
      </c>
      <c r="C11" s="18">
        <f>1/13*100%</f>
        <v>7.6923076923076927E-2</v>
      </c>
      <c r="D11" s="19" t="s">
        <v>25</v>
      </c>
      <c r="E11" s="20">
        <v>0.6</v>
      </c>
      <c r="F11" s="21" t="s">
        <v>25</v>
      </c>
      <c r="G11" s="21" t="s">
        <v>25</v>
      </c>
    </row>
    <row r="12" spans="1:7" x14ac:dyDescent="0.3">
      <c r="A12" s="16"/>
      <c r="B12" s="22" t="s">
        <v>26</v>
      </c>
      <c r="C12" s="24">
        <v>8.3299999999999999E-2</v>
      </c>
      <c r="D12" s="19" t="s">
        <v>25</v>
      </c>
      <c r="E12" s="20">
        <v>0.6</v>
      </c>
      <c r="F12" s="21" t="s">
        <v>25</v>
      </c>
      <c r="G12" s="21" t="s">
        <v>25</v>
      </c>
    </row>
    <row r="13" spans="1:7" x14ac:dyDescent="0.3">
      <c r="A13" s="16"/>
      <c r="B13" s="17" t="s">
        <v>27</v>
      </c>
      <c r="C13" s="18">
        <v>8.3299999999999999E-2</v>
      </c>
      <c r="D13" s="19" t="s">
        <v>25</v>
      </c>
      <c r="E13" s="20">
        <v>0.5</v>
      </c>
      <c r="F13" s="21" t="s">
        <v>25</v>
      </c>
      <c r="G13" s="21" t="s">
        <v>25</v>
      </c>
    </row>
    <row r="14" spans="1:7" x14ac:dyDescent="0.3">
      <c r="A14" s="25"/>
      <c r="B14" s="17" t="s">
        <v>28</v>
      </c>
      <c r="C14" s="18">
        <v>3.3300000000000003E-2</v>
      </c>
      <c r="D14" s="19" t="s">
        <v>14</v>
      </c>
      <c r="E14" s="20">
        <v>0.7</v>
      </c>
      <c r="F14" s="21" t="s">
        <v>14</v>
      </c>
      <c r="G14" s="21" t="s">
        <v>14</v>
      </c>
    </row>
    <row r="15" spans="1:7" x14ac:dyDescent="0.3">
      <c r="A15" s="16"/>
      <c r="B15" s="17" t="s">
        <v>29</v>
      </c>
      <c r="C15" s="18">
        <f>1/12*100%</f>
        <v>8.3333333333333329E-2</v>
      </c>
      <c r="D15" s="19" t="s">
        <v>12</v>
      </c>
      <c r="E15" s="20">
        <v>0.65</v>
      </c>
      <c r="F15" s="21" t="s">
        <v>12</v>
      </c>
      <c r="G15" s="21" t="s">
        <v>12</v>
      </c>
    </row>
    <row r="16" spans="1:7" ht="15" thickBot="1" x14ac:dyDescent="0.35">
      <c r="A16" s="26"/>
      <c r="B16" s="22" t="s">
        <v>30</v>
      </c>
      <c r="C16" s="18">
        <f>1/12</f>
        <v>8.3333333333333329E-2</v>
      </c>
      <c r="D16" s="19" t="s">
        <v>12</v>
      </c>
      <c r="E16" s="20">
        <v>0.5</v>
      </c>
      <c r="F16" s="21" t="s">
        <v>12</v>
      </c>
      <c r="G16" s="21" t="s">
        <v>12</v>
      </c>
    </row>
    <row r="17" spans="1:7" ht="15" thickBot="1" x14ac:dyDescent="0.35">
      <c r="A17" s="4"/>
      <c r="B17" s="27"/>
      <c r="C17" s="28"/>
      <c r="D17" s="29"/>
      <c r="E17" s="29"/>
      <c r="F17" s="30"/>
      <c r="G17" s="30"/>
    </row>
    <row r="18" spans="1:7" x14ac:dyDescent="0.3">
      <c r="A18" s="9" t="s">
        <v>31</v>
      </c>
      <c r="B18" s="10" t="s">
        <v>32</v>
      </c>
      <c r="C18" s="31">
        <v>0.09</v>
      </c>
      <c r="D18" s="14" t="s">
        <v>12</v>
      </c>
      <c r="E18" s="32">
        <v>0.8</v>
      </c>
      <c r="F18" s="21" t="s">
        <v>12</v>
      </c>
      <c r="G18" s="21" t="s">
        <v>12</v>
      </c>
    </row>
    <row r="19" spans="1:7" x14ac:dyDescent="0.3">
      <c r="A19" s="16"/>
      <c r="B19" s="17" t="s">
        <v>33</v>
      </c>
      <c r="C19" s="31">
        <v>0.09</v>
      </c>
      <c r="D19" s="21" t="s">
        <v>12</v>
      </c>
      <c r="E19" s="33">
        <v>0.8</v>
      </c>
      <c r="F19" s="21" t="s">
        <v>12</v>
      </c>
      <c r="G19" s="21" t="s">
        <v>12</v>
      </c>
    </row>
    <row r="20" spans="1:7" x14ac:dyDescent="0.3">
      <c r="A20" s="16"/>
      <c r="B20" s="17" t="s">
        <v>34</v>
      </c>
      <c r="C20" s="31">
        <v>0.09</v>
      </c>
      <c r="D20" s="21" t="s">
        <v>12</v>
      </c>
      <c r="E20" s="33">
        <v>0.8</v>
      </c>
      <c r="F20" s="21" t="s">
        <v>12</v>
      </c>
      <c r="G20" s="21" t="s">
        <v>12</v>
      </c>
    </row>
    <row r="21" spans="1:7" x14ac:dyDescent="0.3">
      <c r="A21" s="16"/>
      <c r="B21" s="17" t="s">
        <v>35</v>
      </c>
      <c r="C21" s="31">
        <v>0.09</v>
      </c>
      <c r="D21" s="21" t="s">
        <v>12</v>
      </c>
      <c r="E21" s="33">
        <v>0.8</v>
      </c>
      <c r="F21" s="21" t="s">
        <v>12</v>
      </c>
      <c r="G21" s="21" t="s">
        <v>12</v>
      </c>
    </row>
    <row r="22" spans="1:7" x14ac:dyDescent="0.3">
      <c r="A22" s="16"/>
      <c r="B22" s="17" t="s">
        <v>36</v>
      </c>
      <c r="C22" s="34">
        <f t="shared" ref="C22:C28" si="0">1/12*100%</f>
        <v>8.3333333333333329E-2</v>
      </c>
      <c r="D22" s="21" t="s">
        <v>25</v>
      </c>
      <c r="E22" s="33">
        <v>0.65</v>
      </c>
      <c r="F22" s="21" t="s">
        <v>25</v>
      </c>
      <c r="G22" s="21" t="s">
        <v>25</v>
      </c>
    </row>
    <row r="23" spans="1:7" x14ac:dyDescent="0.3">
      <c r="A23" s="16"/>
      <c r="B23" s="17" t="s">
        <v>37</v>
      </c>
      <c r="C23" s="34">
        <v>0.16600000000000001</v>
      </c>
      <c r="D23" s="21" t="s">
        <v>38</v>
      </c>
      <c r="E23" s="33">
        <v>1</v>
      </c>
      <c r="F23" s="21" t="s">
        <v>38</v>
      </c>
      <c r="G23" s="21" t="s">
        <v>38</v>
      </c>
    </row>
    <row r="24" spans="1:7" x14ac:dyDescent="0.3">
      <c r="A24" s="16"/>
      <c r="B24" s="17" t="s">
        <v>39</v>
      </c>
      <c r="C24" s="34">
        <v>0.16600000000000001</v>
      </c>
      <c r="D24" s="21" t="s">
        <v>38</v>
      </c>
      <c r="E24" s="33">
        <v>1</v>
      </c>
      <c r="F24" s="21" t="s">
        <v>38</v>
      </c>
      <c r="G24" s="21" t="s">
        <v>38</v>
      </c>
    </row>
    <row r="25" spans="1:7" x14ac:dyDescent="0.3">
      <c r="A25" s="16"/>
      <c r="B25" s="17" t="s">
        <v>40</v>
      </c>
      <c r="C25" s="34">
        <f t="shared" si="0"/>
        <v>8.3333333333333329E-2</v>
      </c>
      <c r="D25" s="21" t="s">
        <v>25</v>
      </c>
      <c r="E25" s="33">
        <v>0.7</v>
      </c>
      <c r="F25" s="21" t="s">
        <v>25</v>
      </c>
      <c r="G25" s="21" t="s">
        <v>25</v>
      </c>
    </row>
    <row r="26" spans="1:7" x14ac:dyDescent="0.3">
      <c r="A26" s="26"/>
      <c r="B26" s="35" t="s">
        <v>41</v>
      </c>
      <c r="C26" s="34">
        <f t="shared" si="0"/>
        <v>8.3333333333333329E-2</v>
      </c>
      <c r="D26" s="21" t="s">
        <v>25</v>
      </c>
      <c r="E26" s="33">
        <v>0.7</v>
      </c>
      <c r="F26" s="21" t="s">
        <v>25</v>
      </c>
      <c r="G26" s="21" t="s">
        <v>25</v>
      </c>
    </row>
    <row r="27" spans="1:7" x14ac:dyDescent="0.3">
      <c r="A27" s="26"/>
      <c r="B27" s="36" t="s">
        <v>42</v>
      </c>
      <c r="C27" s="34">
        <f t="shared" si="0"/>
        <v>8.3333333333333329E-2</v>
      </c>
      <c r="D27" s="21" t="s">
        <v>25</v>
      </c>
      <c r="E27" s="33">
        <v>0.7</v>
      </c>
      <c r="F27" s="21" t="s">
        <v>25</v>
      </c>
      <c r="G27" s="21" t="s">
        <v>25</v>
      </c>
    </row>
    <row r="28" spans="1:7" ht="15" thickBot="1" x14ac:dyDescent="0.35">
      <c r="A28" s="26"/>
      <c r="B28" s="36" t="s">
        <v>43</v>
      </c>
      <c r="C28" s="37">
        <f t="shared" si="0"/>
        <v>8.3333333333333329E-2</v>
      </c>
      <c r="D28" s="38" t="s">
        <v>25</v>
      </c>
      <c r="E28" s="39">
        <v>0.8</v>
      </c>
      <c r="F28" s="38" t="s">
        <v>25</v>
      </c>
      <c r="G28" s="38" t="s">
        <v>25</v>
      </c>
    </row>
    <row r="29" spans="1:7" ht="15" thickBot="1" x14ac:dyDescent="0.35">
      <c r="A29" s="4"/>
      <c r="B29" s="27"/>
      <c r="C29" s="28"/>
      <c r="D29" s="29"/>
      <c r="E29" s="29"/>
      <c r="F29" s="30"/>
      <c r="G29" s="30"/>
    </row>
    <row r="30" spans="1:7" x14ac:dyDescent="0.3">
      <c r="A30" s="9" t="s">
        <v>44</v>
      </c>
      <c r="B30" s="10" t="s">
        <v>45</v>
      </c>
      <c r="C30" s="31">
        <f>1/12*100%</f>
        <v>8.3333333333333329E-2</v>
      </c>
      <c r="D30" s="14" t="s">
        <v>25</v>
      </c>
      <c r="E30" s="32">
        <v>0.8</v>
      </c>
      <c r="F30" s="14" t="s">
        <v>25</v>
      </c>
      <c r="G30" s="14" t="s">
        <v>25</v>
      </c>
    </row>
    <row r="31" spans="1:7" x14ac:dyDescent="0.3">
      <c r="A31" s="16"/>
      <c r="B31" s="40" t="s">
        <v>46</v>
      </c>
      <c r="C31" s="34">
        <f>1/12*100%</f>
        <v>8.3333333333333329E-2</v>
      </c>
      <c r="D31" s="21" t="s">
        <v>25</v>
      </c>
      <c r="E31" s="33">
        <v>0.8</v>
      </c>
      <c r="F31" s="21" t="s">
        <v>25</v>
      </c>
      <c r="G31" s="21" t="s">
        <v>25</v>
      </c>
    </row>
    <row r="32" spans="1:7" ht="15" thickBot="1" x14ac:dyDescent="0.35">
      <c r="A32" s="26"/>
      <c r="B32" s="10" t="s">
        <v>47</v>
      </c>
      <c r="C32" s="41">
        <f>2/34</f>
        <v>5.8823529411764705E-2</v>
      </c>
      <c r="D32" s="38" t="s">
        <v>19</v>
      </c>
      <c r="E32" s="32">
        <v>0.7</v>
      </c>
      <c r="F32" s="38" t="s">
        <v>19</v>
      </c>
      <c r="G32" s="38" t="s">
        <v>19</v>
      </c>
    </row>
    <row r="33" spans="1:7" ht="15" thickBot="1" x14ac:dyDescent="0.35">
      <c r="A33" s="4"/>
      <c r="B33" s="27"/>
      <c r="C33" s="28"/>
      <c r="D33" s="29"/>
      <c r="E33" s="29"/>
      <c r="F33" s="30"/>
      <c r="G33" s="30"/>
    </row>
    <row r="34" spans="1:7" x14ac:dyDescent="0.3">
      <c r="A34" s="42" t="s">
        <v>48</v>
      </c>
      <c r="B34" s="43" t="s">
        <v>49</v>
      </c>
      <c r="C34" s="31">
        <f t="shared" ref="C34:C52" si="1">1/20*100%</f>
        <v>0.05</v>
      </c>
      <c r="D34" s="14" t="s">
        <v>50</v>
      </c>
      <c r="E34" s="32">
        <v>0.5</v>
      </c>
      <c r="F34" s="14" t="s">
        <v>50</v>
      </c>
      <c r="G34" s="14" t="s">
        <v>50</v>
      </c>
    </row>
    <row r="35" spans="1:7" x14ac:dyDescent="0.3">
      <c r="A35" s="9"/>
      <c r="B35" s="43" t="s">
        <v>51</v>
      </c>
      <c r="C35" s="31">
        <f t="shared" si="1"/>
        <v>0.05</v>
      </c>
      <c r="D35" s="14" t="s">
        <v>50</v>
      </c>
      <c r="E35" s="32">
        <v>0.8</v>
      </c>
      <c r="F35" s="14" t="s">
        <v>50</v>
      </c>
      <c r="G35" s="14" t="s">
        <v>50</v>
      </c>
    </row>
    <row r="36" spans="1:7" x14ac:dyDescent="0.3">
      <c r="A36" s="9"/>
      <c r="B36" s="43" t="s">
        <v>52</v>
      </c>
      <c r="C36" s="31">
        <f t="shared" si="1"/>
        <v>0.05</v>
      </c>
      <c r="D36" s="14" t="s">
        <v>50</v>
      </c>
      <c r="E36" s="32">
        <v>0.8</v>
      </c>
      <c r="F36" s="14" t="s">
        <v>50</v>
      </c>
      <c r="G36" s="14" t="s">
        <v>50</v>
      </c>
    </row>
    <row r="37" spans="1:7" x14ac:dyDescent="0.3">
      <c r="A37" s="9"/>
      <c r="B37" s="43" t="s">
        <v>53</v>
      </c>
      <c r="C37" s="31">
        <f t="shared" si="1"/>
        <v>0.05</v>
      </c>
      <c r="D37" s="14" t="s">
        <v>54</v>
      </c>
      <c r="E37" s="32">
        <v>0.8</v>
      </c>
      <c r="F37" s="14" t="s">
        <v>54</v>
      </c>
      <c r="G37" s="14" t="s">
        <v>54</v>
      </c>
    </row>
    <row r="38" spans="1:7" x14ac:dyDescent="0.3">
      <c r="A38" s="16"/>
      <c r="B38" s="22" t="s">
        <v>55</v>
      </c>
      <c r="C38" s="34">
        <f t="shared" si="1"/>
        <v>0.05</v>
      </c>
      <c r="D38" s="21" t="s">
        <v>50</v>
      </c>
      <c r="E38" s="33">
        <v>0.5</v>
      </c>
      <c r="F38" s="21" t="s">
        <v>50</v>
      </c>
      <c r="G38" s="21" t="s">
        <v>50</v>
      </c>
    </row>
    <row r="39" spans="1:7" x14ac:dyDescent="0.3">
      <c r="A39" s="16"/>
      <c r="B39" s="22" t="s">
        <v>56</v>
      </c>
      <c r="C39" s="34">
        <f t="shared" si="1"/>
        <v>0.05</v>
      </c>
      <c r="D39" s="21" t="s">
        <v>50</v>
      </c>
      <c r="E39" s="33">
        <v>0.5</v>
      </c>
      <c r="F39" s="21" t="s">
        <v>50</v>
      </c>
      <c r="G39" s="21" t="s">
        <v>50</v>
      </c>
    </row>
    <row r="40" spans="1:7" ht="15.6" x14ac:dyDescent="0.3">
      <c r="A40" s="16"/>
      <c r="B40" s="44" t="s">
        <v>57</v>
      </c>
      <c r="C40" s="34">
        <f t="shared" si="1"/>
        <v>0.05</v>
      </c>
      <c r="D40" s="21" t="s">
        <v>50</v>
      </c>
      <c r="E40" s="33">
        <v>0.5</v>
      </c>
      <c r="F40" s="21" t="s">
        <v>50</v>
      </c>
      <c r="G40" s="21" t="s">
        <v>50</v>
      </c>
    </row>
    <row r="41" spans="1:7" ht="15.6" x14ac:dyDescent="0.3">
      <c r="A41" s="16"/>
      <c r="B41" s="44" t="s">
        <v>58</v>
      </c>
      <c r="C41" s="34">
        <f t="shared" si="1"/>
        <v>0.05</v>
      </c>
      <c r="D41" s="21" t="s">
        <v>50</v>
      </c>
      <c r="E41" s="33">
        <v>0.5</v>
      </c>
      <c r="F41" s="21" t="s">
        <v>50</v>
      </c>
      <c r="G41" s="21" t="s">
        <v>50</v>
      </c>
    </row>
    <row r="42" spans="1:7" ht="15.6" x14ac:dyDescent="0.3">
      <c r="A42" s="16"/>
      <c r="B42" s="44" t="s">
        <v>59</v>
      </c>
      <c r="C42" s="34">
        <f t="shared" si="1"/>
        <v>0.05</v>
      </c>
      <c r="D42" s="21" t="s">
        <v>50</v>
      </c>
      <c r="E42" s="33">
        <v>0.5</v>
      </c>
      <c r="F42" s="21" t="s">
        <v>50</v>
      </c>
      <c r="G42" s="21" t="s">
        <v>50</v>
      </c>
    </row>
    <row r="43" spans="1:7" x14ac:dyDescent="0.3">
      <c r="A43" s="16"/>
      <c r="B43" s="17" t="s">
        <v>60</v>
      </c>
      <c r="C43" s="34">
        <f t="shared" si="1"/>
        <v>0.05</v>
      </c>
      <c r="D43" s="21" t="s">
        <v>50</v>
      </c>
      <c r="E43" s="33">
        <v>0.5</v>
      </c>
      <c r="F43" s="21" t="s">
        <v>50</v>
      </c>
      <c r="G43" s="21" t="s">
        <v>50</v>
      </c>
    </row>
    <row r="44" spans="1:7" x14ac:dyDescent="0.3">
      <c r="A44" s="16"/>
      <c r="B44" s="17" t="s">
        <v>61</v>
      </c>
      <c r="C44" s="34">
        <f t="shared" si="1"/>
        <v>0.05</v>
      </c>
      <c r="D44" s="21" t="s">
        <v>50</v>
      </c>
      <c r="E44" s="33">
        <v>0.5</v>
      </c>
      <c r="F44" s="21" t="s">
        <v>50</v>
      </c>
      <c r="G44" s="21" t="s">
        <v>50</v>
      </c>
    </row>
    <row r="45" spans="1:7" x14ac:dyDescent="0.3">
      <c r="A45" s="16"/>
      <c r="B45" s="17" t="s">
        <v>62</v>
      </c>
      <c r="C45" s="34">
        <f t="shared" si="1"/>
        <v>0.05</v>
      </c>
      <c r="D45" s="21" t="s">
        <v>50</v>
      </c>
      <c r="E45" s="33">
        <v>0.5</v>
      </c>
      <c r="F45" s="21" t="s">
        <v>50</v>
      </c>
      <c r="G45" s="21" t="s">
        <v>50</v>
      </c>
    </row>
    <row r="46" spans="1:7" x14ac:dyDescent="0.3">
      <c r="A46" s="16"/>
      <c r="B46" s="17" t="s">
        <v>63</v>
      </c>
      <c r="C46" s="34">
        <f t="shared" si="1"/>
        <v>0.05</v>
      </c>
      <c r="D46" s="21" t="s">
        <v>50</v>
      </c>
      <c r="E46" s="33">
        <v>0.5</v>
      </c>
      <c r="F46" s="21" t="s">
        <v>50</v>
      </c>
      <c r="G46" s="21" t="s">
        <v>50</v>
      </c>
    </row>
    <row r="47" spans="1:7" x14ac:dyDescent="0.3">
      <c r="A47" s="16"/>
      <c r="B47" s="17" t="s">
        <v>64</v>
      </c>
      <c r="C47" s="34">
        <f t="shared" si="1"/>
        <v>0.05</v>
      </c>
      <c r="D47" s="21" t="s">
        <v>50</v>
      </c>
      <c r="E47" s="33">
        <v>0.6</v>
      </c>
      <c r="F47" s="21" t="s">
        <v>50</v>
      </c>
      <c r="G47" s="21" t="s">
        <v>50</v>
      </c>
    </row>
    <row r="48" spans="1:7" x14ac:dyDescent="0.3">
      <c r="A48" s="16"/>
      <c r="B48" s="17" t="s">
        <v>65</v>
      </c>
      <c r="C48" s="34">
        <f t="shared" si="1"/>
        <v>0.05</v>
      </c>
      <c r="D48" s="21" t="s">
        <v>50</v>
      </c>
      <c r="E48" s="33">
        <v>0.6</v>
      </c>
      <c r="F48" s="21" t="s">
        <v>50</v>
      </c>
      <c r="G48" s="21" t="s">
        <v>50</v>
      </c>
    </row>
    <row r="49" spans="1:7" x14ac:dyDescent="0.3">
      <c r="A49" s="26"/>
      <c r="B49" s="36" t="s">
        <v>66</v>
      </c>
      <c r="C49" s="37">
        <f t="shared" si="1"/>
        <v>0.05</v>
      </c>
      <c r="D49" s="38" t="s">
        <v>50</v>
      </c>
      <c r="E49" s="39">
        <v>0.6</v>
      </c>
      <c r="F49" s="38" t="s">
        <v>50</v>
      </c>
      <c r="G49" s="38" t="s">
        <v>50</v>
      </c>
    </row>
    <row r="50" spans="1:7" x14ac:dyDescent="0.3">
      <c r="A50" s="45"/>
      <c r="B50" s="46" t="s">
        <v>67</v>
      </c>
      <c r="C50" s="18">
        <f t="shared" si="1"/>
        <v>0.05</v>
      </c>
      <c r="D50" s="47" t="s">
        <v>50</v>
      </c>
      <c r="E50" s="48">
        <v>0.6</v>
      </c>
      <c r="F50" s="47" t="s">
        <v>50</v>
      </c>
      <c r="G50" s="47" t="s">
        <v>50</v>
      </c>
    </row>
    <row r="51" spans="1:7" x14ac:dyDescent="0.3">
      <c r="A51" s="45"/>
      <c r="B51" s="46" t="s">
        <v>68</v>
      </c>
      <c r="C51" s="18">
        <f t="shared" si="1"/>
        <v>0.05</v>
      </c>
      <c r="D51" s="47" t="s">
        <v>50</v>
      </c>
      <c r="E51" s="48">
        <v>0.5</v>
      </c>
      <c r="F51" s="47" t="s">
        <v>50</v>
      </c>
      <c r="G51" s="47" t="s">
        <v>50</v>
      </c>
    </row>
    <row r="52" spans="1:7" x14ac:dyDescent="0.3">
      <c r="A52" s="45"/>
      <c r="B52" s="46" t="s">
        <v>69</v>
      </c>
      <c r="C52" s="18">
        <f t="shared" si="1"/>
        <v>0.05</v>
      </c>
      <c r="D52" s="47"/>
      <c r="E52" s="48"/>
      <c r="F52" s="47"/>
      <c r="G52" s="47"/>
    </row>
    <row r="53" spans="1:7" x14ac:dyDescent="0.3">
      <c r="A53" s="45"/>
      <c r="B53" s="46"/>
      <c r="C53" s="18"/>
      <c r="D53" s="47"/>
      <c r="E53" s="48"/>
      <c r="F53" s="47"/>
      <c r="G53" s="47"/>
    </row>
    <row r="54" spans="1:7" ht="15" thickBot="1" x14ac:dyDescent="0.35">
      <c r="A54" s="49"/>
      <c r="B54" s="50"/>
      <c r="C54" s="51"/>
      <c r="D54" s="52"/>
      <c r="E54" s="51"/>
      <c r="F54" s="52"/>
      <c r="G54" s="52"/>
    </row>
    <row r="55" spans="1:7" x14ac:dyDescent="0.3">
      <c r="A55" s="9" t="s">
        <v>70</v>
      </c>
      <c r="B55" s="10" t="s">
        <v>71</v>
      </c>
      <c r="C55" s="31">
        <f>1/20*100%</f>
        <v>0.05</v>
      </c>
      <c r="D55" s="14" t="s">
        <v>50</v>
      </c>
      <c r="E55" s="32">
        <v>0.3</v>
      </c>
      <c r="F55" s="14" t="s">
        <v>50</v>
      </c>
      <c r="G55" s="14" t="s">
        <v>50</v>
      </c>
    </row>
    <row r="56" spans="1:7" ht="15" thickBot="1" x14ac:dyDescent="0.35">
      <c r="A56" s="26"/>
      <c r="B56" s="36" t="s">
        <v>72</v>
      </c>
      <c r="C56" s="37">
        <f>1/20*100%</f>
        <v>0.05</v>
      </c>
      <c r="D56" s="38" t="s">
        <v>50</v>
      </c>
      <c r="E56" s="39">
        <v>0.3</v>
      </c>
      <c r="F56" s="38" t="s">
        <v>50</v>
      </c>
      <c r="G56" s="38" t="s">
        <v>50</v>
      </c>
    </row>
    <row r="57" spans="1:7" ht="15" thickBot="1" x14ac:dyDescent="0.35">
      <c r="A57" s="53"/>
      <c r="B57" s="54"/>
      <c r="C57" s="55"/>
      <c r="D57" s="30"/>
      <c r="E57" s="55"/>
      <c r="F57" s="30"/>
      <c r="G57" s="30"/>
    </row>
    <row r="58" spans="1:7" x14ac:dyDescent="0.3">
      <c r="A58" s="9" t="s">
        <v>73</v>
      </c>
      <c r="B58" s="10" t="s">
        <v>74</v>
      </c>
      <c r="C58" s="31">
        <f>1/12*100%</f>
        <v>8.3333333333333329E-2</v>
      </c>
      <c r="D58" s="14" t="s">
        <v>12</v>
      </c>
      <c r="E58" s="32">
        <v>0.5</v>
      </c>
      <c r="F58" s="14" t="s">
        <v>12</v>
      </c>
      <c r="G58" s="14" t="s">
        <v>12</v>
      </c>
    </row>
    <row r="59" spans="1:7" x14ac:dyDescent="0.3">
      <c r="A59" s="9"/>
      <c r="B59" s="10" t="s">
        <v>75</v>
      </c>
      <c r="C59" s="31">
        <f>1/12*100%</f>
        <v>8.3333333333333329E-2</v>
      </c>
      <c r="D59" s="14" t="s">
        <v>12</v>
      </c>
      <c r="E59" s="32">
        <v>0.5</v>
      </c>
      <c r="F59" s="14" t="s">
        <v>12</v>
      </c>
      <c r="G59" s="14" t="s">
        <v>12</v>
      </c>
    </row>
    <row r="60" spans="1:7" ht="15.6" x14ac:dyDescent="0.3">
      <c r="A60" s="9"/>
      <c r="B60" s="44" t="s">
        <v>76</v>
      </c>
      <c r="C60" s="31">
        <f>1/12*100%</f>
        <v>8.3333333333333329E-2</v>
      </c>
      <c r="D60" s="14" t="s">
        <v>50</v>
      </c>
      <c r="E60" s="32">
        <v>0.5</v>
      </c>
      <c r="F60" s="14" t="s">
        <v>50</v>
      </c>
      <c r="G60" s="14" t="s">
        <v>50</v>
      </c>
    </row>
    <row r="61" spans="1:7" ht="15.6" x14ac:dyDescent="0.3">
      <c r="A61" s="9"/>
      <c r="B61" s="44" t="s">
        <v>77</v>
      </c>
      <c r="C61" s="31">
        <v>0.16600000000000001</v>
      </c>
      <c r="D61" s="14" t="s">
        <v>38</v>
      </c>
      <c r="E61" s="32">
        <v>0.5</v>
      </c>
      <c r="F61" s="14" t="s">
        <v>38</v>
      </c>
      <c r="G61" s="14" t="s">
        <v>38</v>
      </c>
    </row>
    <row r="62" spans="1:7" ht="15.6" x14ac:dyDescent="0.3">
      <c r="A62" s="9"/>
      <c r="B62" s="44" t="s">
        <v>78</v>
      </c>
      <c r="C62" s="31">
        <v>0.16600000000000001</v>
      </c>
      <c r="D62" s="14" t="s">
        <v>38</v>
      </c>
      <c r="E62" s="32">
        <v>0.5</v>
      </c>
      <c r="F62" s="14" t="s">
        <v>38</v>
      </c>
      <c r="G62" s="14" t="s">
        <v>38</v>
      </c>
    </row>
    <row r="63" spans="1:7" ht="15.6" x14ac:dyDescent="0.3">
      <c r="A63" s="9"/>
      <c r="B63" s="44" t="s">
        <v>79</v>
      </c>
      <c r="C63" s="31">
        <v>0.16600000000000001</v>
      </c>
      <c r="D63" s="14" t="s">
        <v>38</v>
      </c>
      <c r="E63" s="32">
        <v>0.5</v>
      </c>
      <c r="F63" s="14" t="s">
        <v>38</v>
      </c>
      <c r="G63" s="14" t="s">
        <v>38</v>
      </c>
    </row>
    <row r="64" spans="1:7" ht="15.6" x14ac:dyDescent="0.3">
      <c r="A64" s="9"/>
      <c r="B64" s="44" t="s">
        <v>80</v>
      </c>
      <c r="C64" s="31">
        <v>0.16600000000000001</v>
      </c>
      <c r="D64" s="14" t="s">
        <v>38</v>
      </c>
      <c r="E64" s="32">
        <v>0.5</v>
      </c>
      <c r="F64" s="14" t="s">
        <v>38</v>
      </c>
      <c r="G64" s="14" t="s">
        <v>38</v>
      </c>
    </row>
    <row r="65" spans="1:7" ht="15" thickBot="1" x14ac:dyDescent="0.35">
      <c r="A65" s="9"/>
      <c r="B65" s="10" t="s">
        <v>81</v>
      </c>
      <c r="C65" s="31">
        <v>0.25</v>
      </c>
      <c r="D65" s="14" t="s">
        <v>82</v>
      </c>
      <c r="E65" s="32">
        <v>1</v>
      </c>
      <c r="F65" s="14" t="s">
        <v>82</v>
      </c>
      <c r="G65" s="14" t="s">
        <v>82</v>
      </c>
    </row>
    <row r="66" spans="1:7" ht="15" thickBot="1" x14ac:dyDescent="0.35">
      <c r="A66" s="53"/>
      <c r="B66" s="54"/>
      <c r="C66" s="55"/>
      <c r="D66" s="30"/>
      <c r="E66" s="55"/>
      <c r="F66" s="30"/>
      <c r="G66" s="30"/>
    </row>
    <row r="67" spans="1:7" x14ac:dyDescent="0.3">
      <c r="A67" s="9" t="s">
        <v>83</v>
      </c>
      <c r="B67" s="10" t="s">
        <v>84</v>
      </c>
      <c r="C67" s="37">
        <f>1/12*100%</f>
        <v>8.3333333333333329E-2</v>
      </c>
      <c r="D67" s="32" t="s">
        <v>12</v>
      </c>
      <c r="E67" s="32">
        <v>0.5</v>
      </c>
      <c r="F67" s="32" t="s">
        <v>12</v>
      </c>
      <c r="G67" s="32" t="s">
        <v>12</v>
      </c>
    </row>
    <row r="68" spans="1:7" ht="15" thickBot="1" x14ac:dyDescent="0.35">
      <c r="A68" s="26"/>
      <c r="B68" s="36" t="s">
        <v>85</v>
      </c>
      <c r="C68" s="37">
        <f>1/12*100%</f>
        <v>8.3333333333333329E-2</v>
      </c>
      <c r="D68" s="32" t="s">
        <v>12</v>
      </c>
      <c r="E68" s="39">
        <v>0.5</v>
      </c>
      <c r="F68" s="32" t="s">
        <v>12</v>
      </c>
      <c r="G68" s="32" t="s">
        <v>12</v>
      </c>
    </row>
    <row r="69" spans="1:7" ht="15" thickBot="1" x14ac:dyDescent="0.35">
      <c r="A69" s="53"/>
      <c r="B69" s="54"/>
      <c r="C69" s="55"/>
      <c r="D69" s="55"/>
      <c r="E69" s="55"/>
      <c r="F69" s="55"/>
      <c r="G69" s="55"/>
    </row>
    <row r="70" spans="1:7" x14ac:dyDescent="0.3">
      <c r="A70" s="56"/>
      <c r="B70" s="10"/>
      <c r="C70" s="32"/>
      <c r="D70" s="32"/>
      <c r="E70" s="32"/>
      <c r="F70" s="32"/>
      <c r="G70" s="32"/>
    </row>
    <row r="71" spans="1:7" x14ac:dyDescent="0.3">
      <c r="A71" s="57" t="s">
        <v>86</v>
      </c>
      <c r="B71" s="58"/>
      <c r="C71" s="33"/>
      <c r="D71" s="21"/>
      <c r="E71" s="33"/>
      <c r="F71" s="59">
        <v>453.35625684756798</v>
      </c>
      <c r="G71" s="59">
        <v>527.07351329943299</v>
      </c>
    </row>
    <row r="72" spans="1:7" x14ac:dyDescent="0.3">
      <c r="A72" s="60" t="s">
        <v>87</v>
      </c>
      <c r="B72" s="61"/>
      <c r="C72" s="33"/>
      <c r="D72" s="21"/>
      <c r="E72" s="33"/>
      <c r="F72" s="59">
        <f t="shared" ref="F72:G72" si="2">F$71*18%</f>
        <v>81.604126232562237</v>
      </c>
      <c r="G72" s="59">
        <f t="shared" si="2"/>
        <v>94.873232393897936</v>
      </c>
    </row>
    <row r="73" spans="1:7" x14ac:dyDescent="0.3">
      <c r="A73" s="62" t="s">
        <v>88</v>
      </c>
      <c r="B73" s="62"/>
      <c r="C73" s="21"/>
      <c r="D73" s="21"/>
      <c r="E73" s="21"/>
      <c r="F73" s="59"/>
      <c r="G73" s="21"/>
    </row>
    <row r="74" spans="1:7" x14ac:dyDescent="0.3">
      <c r="A74" s="62" t="s">
        <v>89</v>
      </c>
      <c r="B74" s="62"/>
      <c r="C74" s="21"/>
      <c r="D74" s="21"/>
      <c r="E74" s="21"/>
      <c r="F74" s="59"/>
      <c r="G74" s="21"/>
    </row>
    <row r="75" spans="1:7" x14ac:dyDescent="0.3">
      <c r="A75" s="63" t="s">
        <v>90</v>
      </c>
      <c r="B75" s="63"/>
      <c r="C75" s="64"/>
      <c r="D75" s="64"/>
      <c r="E75" s="64"/>
      <c r="F75" s="65"/>
      <c r="G75" s="64"/>
    </row>
    <row r="76" spans="1:7" x14ac:dyDescent="0.3">
      <c r="A76" s="66" t="s">
        <v>91</v>
      </c>
      <c r="B76" s="62" t="s">
        <v>92</v>
      </c>
      <c r="C76" s="21"/>
      <c r="D76" s="21"/>
      <c r="E76" s="21"/>
      <c r="F76" s="21"/>
      <c r="G76" s="59"/>
    </row>
    <row r="77" spans="1:7" x14ac:dyDescent="0.3">
      <c r="A77" s="62" t="s">
        <v>93</v>
      </c>
      <c r="B77" s="62" t="s">
        <v>94</v>
      </c>
      <c r="C77" s="21"/>
      <c r="D77" s="21"/>
      <c r="E77" s="21"/>
      <c r="F77" s="21"/>
      <c r="G77" s="21"/>
    </row>
    <row r="78" spans="1:7" x14ac:dyDescent="0.3">
      <c r="A78" s="62" t="s">
        <v>95</v>
      </c>
      <c r="B78" s="62" t="s">
        <v>96</v>
      </c>
      <c r="C78" s="21"/>
      <c r="D78" s="21"/>
      <c r="E78" s="21"/>
      <c r="F78" s="21"/>
      <c r="G78" s="21"/>
    </row>
    <row r="79" spans="1:7" x14ac:dyDescent="0.3">
      <c r="A79" s="62"/>
      <c r="B79" s="62" t="s">
        <v>97</v>
      </c>
      <c r="C79" s="21"/>
      <c r="D79" s="21"/>
      <c r="E79" s="21"/>
      <c r="F79" s="21"/>
      <c r="G79" s="21"/>
    </row>
    <row r="80" spans="1:7" x14ac:dyDescent="0.3">
      <c r="A80" s="62" t="s">
        <v>95</v>
      </c>
      <c r="B80" s="62" t="s">
        <v>98</v>
      </c>
      <c r="C80" s="21"/>
      <c r="D80" s="21"/>
      <c r="E80" s="21"/>
      <c r="F80" s="21"/>
      <c r="G80" s="21"/>
    </row>
    <row r="81" spans="1:7" x14ac:dyDescent="0.3">
      <c r="A81" s="62"/>
      <c r="B81" s="62" t="s">
        <v>99</v>
      </c>
      <c r="C81" s="21"/>
      <c r="D81" s="21"/>
      <c r="E81" s="21"/>
      <c r="F81" s="21"/>
      <c r="G81" s="21"/>
    </row>
    <row r="82" spans="1:7" x14ac:dyDescent="0.3">
      <c r="A82" s="62"/>
      <c r="B82" s="62" t="s">
        <v>100</v>
      </c>
      <c r="C82" s="21"/>
      <c r="D82" s="21"/>
      <c r="E82" s="21"/>
      <c r="F82" s="21"/>
      <c r="G82" s="21"/>
    </row>
    <row r="83" spans="1:7" x14ac:dyDescent="0.3">
      <c r="A83" s="62"/>
      <c r="B83" s="62" t="s">
        <v>101</v>
      </c>
      <c r="C83" s="21"/>
      <c r="D83" s="21"/>
      <c r="E83" s="21"/>
      <c r="F83" s="21"/>
      <c r="G83" s="21"/>
    </row>
    <row r="84" spans="1:7" x14ac:dyDescent="0.3">
      <c r="A84" s="62"/>
      <c r="B84" s="62"/>
      <c r="C84" s="21"/>
      <c r="D84" s="21"/>
      <c r="E84" s="21"/>
      <c r="F84" s="21"/>
      <c r="G84" s="21"/>
    </row>
    <row r="85" spans="1:7" x14ac:dyDescent="0.3">
      <c r="A85" s="62" t="s">
        <v>102</v>
      </c>
      <c r="B85" s="62" t="s">
        <v>103</v>
      </c>
      <c r="C85" s="21"/>
      <c r="D85" s="21"/>
      <c r="E85" s="21"/>
      <c r="F85" s="21"/>
      <c r="G85" s="21"/>
    </row>
    <row r="86" spans="1:7" x14ac:dyDescent="0.3">
      <c r="A86" s="67"/>
      <c r="B86" s="67"/>
      <c r="C86" s="21"/>
      <c r="D86" s="21"/>
      <c r="E86" s="21"/>
      <c r="F86" s="21"/>
      <c r="G86" s="21"/>
    </row>
    <row r="87" spans="1:7" ht="15.6" x14ac:dyDescent="0.3">
      <c r="A87" s="68" t="s">
        <v>104</v>
      </c>
      <c r="B87" s="69"/>
      <c r="C87" s="69"/>
      <c r="D87" s="69"/>
      <c r="E87" s="69"/>
      <c r="F87" s="69"/>
      <c r="G87" s="69"/>
    </row>
  </sheetData>
  <mergeCells count="2">
    <mergeCell ref="A1:B1"/>
    <mergeCell ref="A71:B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2026-05-21T01:33:16Z</dcterms:modified>
</cp:coreProperties>
</file>