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E12" i="1" l="1"/>
  <c r="F12" i="1" s="1"/>
  <c r="F11" i="1"/>
  <c r="E11" i="1"/>
  <c r="E10" i="1"/>
  <c r="F10" i="1" s="1"/>
  <c r="F9" i="1"/>
  <c r="E9" i="1"/>
  <c r="E13" i="1" s="1"/>
  <c r="E5" i="1"/>
  <c r="E4" i="1"/>
  <c r="E3" i="1"/>
  <c r="E2" i="1"/>
  <c r="E6" i="1" s="1"/>
  <c r="F6" i="1" s="1"/>
  <c r="F13" i="1" l="1"/>
  <c r="G13" i="1" s="1"/>
</calcChain>
</file>

<file path=xl/sharedStrings.xml><?xml version="1.0" encoding="utf-8"?>
<sst xmlns="http://schemas.openxmlformats.org/spreadsheetml/2006/main" count="27" uniqueCount="23">
  <si>
    <t>Class</t>
  </si>
  <si>
    <t>QPS %</t>
  </si>
  <si>
    <t>No of O/L</t>
  </si>
  <si>
    <t>Slab</t>
  </si>
  <si>
    <t>Scheme Amt</t>
  </si>
  <si>
    <t>Sliver</t>
  </si>
  <si>
    <t>5000-20000</t>
  </si>
  <si>
    <t xml:space="preserve">Gold </t>
  </si>
  <si>
    <t>20001- 35000</t>
  </si>
  <si>
    <t>Platinium</t>
  </si>
  <si>
    <t>35001-50000</t>
  </si>
  <si>
    <t>Diamond</t>
  </si>
  <si>
    <t>50001 &amp; Above</t>
  </si>
  <si>
    <t>PLUM %</t>
  </si>
  <si>
    <t>Sales</t>
  </si>
  <si>
    <t>Slab 1</t>
  </si>
  <si>
    <t>50000-100000</t>
  </si>
  <si>
    <t>Slab 2</t>
  </si>
  <si>
    <t>100001 &amp; 150000</t>
  </si>
  <si>
    <t>Slab 3</t>
  </si>
  <si>
    <t>150001 &amp; 200000</t>
  </si>
  <si>
    <t>Slab 4</t>
  </si>
  <si>
    <t>200001- &amp;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</si>
</sst>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1"/>
      <color indexed="8"/>
      <name val="Cambria"/>
      <family val="1"/>
      <scheme val="major"/>
    </font>
    <font>
      <b/>
      <sz val="11"/>
      <color indexed="8"/>
      <name val="Cambria"/>
      <family val="1"/>
      <scheme val="maj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2" fillId="0" borderId="1" xfId="1" applyFont="1" applyBorder="1" applyAlignment="1"/>
    <xf numFmtId="0" fontId="3" fillId="0" borderId="1" xfId="1" applyFont="1" applyBorder="1" applyAlignment="1">
      <alignment horizontal="center"/>
    </xf>
    <xf numFmtId="0" fontId="2" fillId="0" borderId="0" xfId="1" applyFont="1" applyAlignment="1"/>
    <xf numFmtId="9" fontId="2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/>
    <xf numFmtId="0" fontId="2" fillId="0" borderId="0" xfId="1" applyFont="1" applyAlignment="1">
      <alignment horizontal="center"/>
    </xf>
    <xf numFmtId="0" fontId="3" fillId="0" borderId="1" xfId="1" applyFont="1" applyBorder="1" applyAlignment="1"/>
    <xf numFmtId="164" fontId="2" fillId="0" borderId="0" xfId="2" applyNumberFormat="1" applyFont="1" applyAlignment="1"/>
    <xf numFmtId="164" fontId="2" fillId="0" borderId="1" xfId="1" applyNumberFormat="1" applyFont="1" applyBorder="1" applyAlignment="1">
      <alignment horizontal="center"/>
    </xf>
    <xf numFmtId="0" fontId="3" fillId="2" borderId="1" xfId="1" applyFont="1" applyFill="1" applyBorder="1" applyAlignment="1"/>
    <xf numFmtId="164" fontId="3" fillId="2" borderId="0" xfId="2" applyNumberFormat="1" applyFont="1" applyFill="1" applyAlignment="1"/>
  </cellXfs>
  <cellStyles count="3">
    <cellStyle name="Normal" xfId="0" builtinId="0"/>
    <cellStyle name="Normal 3" xfId="1"/>
    <cellStyle name="Percent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sqref="A1:G13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3"/>
    </row>
    <row r="2" spans="1:7" x14ac:dyDescent="0.3">
      <c r="A2" s="1" t="s">
        <v>5</v>
      </c>
      <c r="B2" s="4">
        <v>0.05</v>
      </c>
      <c r="C2" s="5">
        <v>110</v>
      </c>
      <c r="D2" s="1" t="s">
        <v>6</v>
      </c>
      <c r="E2" s="1">
        <f>(5000+20000)/2*C2*B2</f>
        <v>68750</v>
      </c>
      <c r="F2" s="3"/>
      <c r="G2" s="3"/>
    </row>
    <row r="3" spans="1:7" x14ac:dyDescent="0.3">
      <c r="A3" s="1" t="s">
        <v>7</v>
      </c>
      <c r="B3" s="4">
        <v>7.0000000000000007E-2</v>
      </c>
      <c r="C3" s="5">
        <v>20</v>
      </c>
      <c r="D3" s="1" t="s">
        <v>8</v>
      </c>
      <c r="E3" s="1">
        <f>(5000+20000)/2*C3*B3</f>
        <v>17500</v>
      </c>
      <c r="F3" s="3"/>
      <c r="G3" s="3"/>
    </row>
    <row r="4" spans="1:7" x14ac:dyDescent="0.3">
      <c r="A4" s="1" t="s">
        <v>9</v>
      </c>
      <c r="B4" s="4">
        <v>0.09</v>
      </c>
      <c r="C4" s="5">
        <v>12</v>
      </c>
      <c r="D4" s="1" t="s">
        <v>10</v>
      </c>
      <c r="E4" s="1">
        <f>(5000+20000)/2*C4*B4</f>
        <v>13500</v>
      </c>
      <c r="F4" s="3"/>
      <c r="G4" s="3"/>
    </row>
    <row r="5" spans="1:7" x14ac:dyDescent="0.3">
      <c r="A5" s="1" t="s">
        <v>11</v>
      </c>
      <c r="B5" s="4">
        <v>0.11</v>
      </c>
      <c r="C5" s="5">
        <v>7</v>
      </c>
      <c r="D5" s="1" t="s">
        <v>12</v>
      </c>
      <c r="E5" s="6">
        <f>(5000+20000)/2*C5*B5</f>
        <v>9625</v>
      </c>
      <c r="F5" s="3"/>
      <c r="G5" s="3"/>
    </row>
    <row r="6" spans="1:7" x14ac:dyDescent="0.3">
      <c r="A6" s="3"/>
      <c r="B6" s="3"/>
      <c r="C6" s="7"/>
      <c r="D6" s="3"/>
      <c r="E6" s="8">
        <f>SUM(E2:E5)</f>
        <v>109375</v>
      </c>
      <c r="F6" s="8">
        <f>E6*12</f>
        <v>1312500</v>
      </c>
      <c r="G6" s="9"/>
    </row>
    <row r="7" spans="1:7" x14ac:dyDescent="0.3">
      <c r="A7" s="3"/>
      <c r="B7" s="3"/>
      <c r="C7" s="7"/>
      <c r="D7" s="3"/>
      <c r="E7" s="3"/>
      <c r="F7" s="3"/>
      <c r="G7" s="3"/>
    </row>
    <row r="8" spans="1:7" x14ac:dyDescent="0.3">
      <c r="A8" s="1" t="s">
        <v>3</v>
      </c>
      <c r="B8" s="8" t="s">
        <v>13</v>
      </c>
      <c r="C8" s="5" t="s">
        <v>3</v>
      </c>
      <c r="D8" s="5" t="s">
        <v>2</v>
      </c>
      <c r="E8" s="1" t="s">
        <v>14</v>
      </c>
      <c r="F8" s="1" t="s">
        <v>4</v>
      </c>
      <c r="G8" s="3"/>
    </row>
    <row r="9" spans="1:7" x14ac:dyDescent="0.3">
      <c r="A9" s="1" t="s">
        <v>15</v>
      </c>
      <c r="B9" s="1" t="s">
        <v>16</v>
      </c>
      <c r="C9" s="10">
        <v>0.01</v>
      </c>
      <c r="D9" s="5">
        <v>50</v>
      </c>
      <c r="E9" s="1">
        <f>75000*D9</f>
        <v>3750000</v>
      </c>
      <c r="F9" s="1">
        <f>E9*C9</f>
        <v>37500</v>
      </c>
      <c r="G9" s="3"/>
    </row>
    <row r="10" spans="1:7" x14ac:dyDescent="0.3">
      <c r="A10" s="1" t="s">
        <v>17</v>
      </c>
      <c r="B10" s="1" t="s">
        <v>18</v>
      </c>
      <c r="C10" s="10">
        <v>1.4999999999999999E-2</v>
      </c>
      <c r="D10" s="5">
        <v>30</v>
      </c>
      <c r="E10" s="1">
        <f>125000*D10</f>
        <v>3750000</v>
      </c>
      <c r="F10" s="1">
        <f>E10*C10</f>
        <v>56250</v>
      </c>
      <c r="G10" s="3"/>
    </row>
    <row r="11" spans="1:7" x14ac:dyDescent="0.3">
      <c r="A11" s="1" t="s">
        <v>19</v>
      </c>
      <c r="B11" s="1" t="s">
        <v>20</v>
      </c>
      <c r="C11" s="10">
        <v>0.02</v>
      </c>
      <c r="D11" s="5">
        <v>20</v>
      </c>
      <c r="E11" s="1">
        <f>175000*D11</f>
        <v>3500000</v>
      </c>
      <c r="F11" s="1">
        <f>E11*C11</f>
        <v>70000</v>
      </c>
      <c r="G11" s="3"/>
    </row>
    <row r="12" spans="1:7" x14ac:dyDescent="0.3">
      <c r="A12" s="1" t="s">
        <v>21</v>
      </c>
      <c r="B12" s="1" t="s">
        <v>22</v>
      </c>
      <c r="C12" s="10">
        <v>2.5000000000000001E-2</v>
      </c>
      <c r="D12" s="5">
        <v>15</v>
      </c>
      <c r="E12" s="1">
        <f>275000*D12</f>
        <v>4125000</v>
      </c>
      <c r="F12" s="1">
        <f>E12*C12</f>
        <v>103125</v>
      </c>
      <c r="G12" s="3"/>
    </row>
    <row r="13" spans="1:7" x14ac:dyDescent="0.3">
      <c r="A13" s="1"/>
      <c r="B13" s="1"/>
      <c r="C13" s="5"/>
      <c r="D13" s="5"/>
      <c r="E13" s="11">
        <f>SUM(E9:E12)</f>
        <v>15125000</v>
      </c>
      <c r="F13" s="11">
        <f>SUM(F9:F12)</f>
        <v>266875</v>
      </c>
      <c r="G13" s="12">
        <f>F13/E13</f>
        <v>1.7644628099173554E-2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2026-05-21T01:32:17Z</dcterms:modified>
</cp:coreProperties>
</file>